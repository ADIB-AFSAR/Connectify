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ID LOG" sheetId="1" r:id="rId5"/>
  </sheets>
  <definedNames/>
  <calcPr/>
</workbook>
</file>

<file path=xl/sharedStrings.xml><?xml version="1.0" encoding="utf-8"?>
<sst xmlns="http://schemas.openxmlformats.org/spreadsheetml/2006/main" count="102" uniqueCount="61">
  <si>
    <t>RAID Log</t>
  </si>
  <si>
    <t>Should you face any difficulty in completing the RAID Log, please refer to 'Project Planning' Workshop, https://script.google.com/macros/s/AKfycbz1vCRZzDZf9SkwX8gv1DzKe59fupHWWehSUu0jeTsiZZxn3YdNVAD1sHDLDUanbJ5O/exec</t>
  </si>
  <si>
    <t>Total</t>
  </si>
  <si>
    <t>Critical</t>
  </si>
  <si>
    <t>High</t>
  </si>
  <si>
    <t>Moderate</t>
  </si>
  <si>
    <t>Low</t>
  </si>
  <si>
    <t>Negligible</t>
  </si>
  <si>
    <t>Risk</t>
  </si>
  <si>
    <r>
      <rPr>
        <rFont val="Calibri"/>
        <b/>
        <color theme="1"/>
        <sz val="14.0"/>
      </rPr>
      <t>Instruction to use the RAID log template:</t>
    </r>
    <r>
      <rPr>
        <rFont val="Calibri"/>
        <color theme="1"/>
        <sz val="12.0"/>
      </rPr>
      <t xml:space="preserve">
•	All fields must be duly filled
•	The descriptions for what to be filled in each of the fields are provided in the template.
•	Clear all the sample data/instructions provided in the template. The data/instruction provided is only for reference purposes.
•	Understand what risks, assumptions, issues, and dependencies are from the description provided in the methodology document
•	Select the category of RAID from the dropdown menu provided in the “RAID category” field in the template.
•	Provide a valid description of the RAID category that you have selected in the “description” field provided.
•	Describe the impact the RAID category you have selected will have on the project in the “impact field”.
•	Describe how the impact of the selected RAID category can be reduced on the project in the “mitigation field” in the template.
•	Mention the responsible person for working on the selected RAID category in the “owner” field in the template.
•	Select the priority with which the selected RAID category needs to be mitigated. The following levels of priority are given in the drop-down menu. Select;
o	Negligible: if the RAID category is not going to make an impact on the project
o	Low: if the raid category is going to make very small impacts on the project
o	Moderate: if the RAID category is going to make a few impacts which can affect the project adversely.
o	High: if the RAID category is going to make major impacts on the project adversely.
o	Critical: if the raid category is going to affect the project at any stage.
•	Provide risk priority number based on the priority selected for the RAID category selected.
•	Select the status of the RAID category selected. Two options are provided in the drop-down menu. Select;
o	Open: if the responsible person is still working on the RAID category selected.
o	Closed: if the responsible person has worked on the RAID category and is solved. </t>
    </r>
  </si>
  <si>
    <t>Project title:</t>
  </si>
  <si>
    <t>Connectify – Professional Networking Platform</t>
  </si>
  <si>
    <t>Project Id:</t>
  </si>
  <si>
    <t>IAC IP23 React Js</t>
  </si>
  <si>
    <t>Project Manager:</t>
  </si>
  <si>
    <t>Harshada Topale</t>
  </si>
  <si>
    <t>Assumption</t>
  </si>
  <si>
    <t>Issue</t>
  </si>
  <si>
    <t>DOCUMENT VERSION:</t>
  </si>
  <si>
    <t>Last Updated date:</t>
  </si>
  <si>
    <t>Project Team Lead:</t>
  </si>
  <si>
    <t>ADIB AFSAR</t>
  </si>
  <si>
    <t>Dependency</t>
  </si>
  <si>
    <t>Select …</t>
  </si>
  <si>
    <t>Risk Priority Number</t>
  </si>
  <si>
    <t>Open/Closed</t>
  </si>
  <si>
    <t>RAID Category</t>
  </si>
  <si>
    <t>Description</t>
  </si>
  <si>
    <t>Impact</t>
  </si>
  <si>
    <t>Mitigation</t>
  </si>
  <si>
    <t>Owner</t>
  </si>
  <si>
    <t>Priority</t>
  </si>
  <si>
    <t>RPN (for risks)</t>
  </si>
  <si>
    <t>Status</t>
  </si>
  <si>
    <t>Firebase free-tier limitations may affect application performance and storage access.</t>
  </si>
  <si>
    <t>Features may stop working during demonstrations.</t>
  </si>
  <si>
    <t>Upgrade plan when needed and monitor usage regularly.</t>
  </si>
  <si>
    <t>Adib Afsar</t>
  </si>
  <si>
    <t>Closed</t>
  </si>
  <si>
    <t>Real-time updates may cause unnecessary component rerendering.</t>
  </si>
  <si>
    <t>Reduced application performance and poor user experience.</t>
  </si>
  <si>
    <t>Optimize React components using memoization and efficient state management.</t>
  </si>
  <si>
    <t>Users have stable internet connectivity and Google accounts.</t>
  </si>
  <si>
    <t>Authentication and data synchronization depend on it.</t>
  </si>
  <si>
    <t>Clearly communicate system requirements.</t>
  </si>
  <si>
    <t>Firebase services will remain available throughout development.</t>
  </si>
  <si>
    <t>Project features depend on Firebase infrastructure.</t>
  </si>
  <si>
    <t>Regularly back up data and monitor Firebase status.</t>
  </si>
  <si>
    <t>Firestore security rules expired during development.</t>
  </si>
  <si>
    <t>Application could not fetch data.</t>
  </si>
  <si>
    <t>Updated Firestore rules and validated permissions.</t>
  </si>
  <si>
    <t>Firebase Storage access was restricted after pricing changes.</t>
  </si>
  <si>
    <t>Media uploads and retrieval failed.</t>
  </si>
  <si>
    <t>Migrated project to the Blaze plan and verified access.</t>
  </si>
  <si>
    <t>Open</t>
  </si>
  <si>
    <t>Google Authentication service.</t>
  </si>
  <si>
    <t>Users cannot log in if the service fails.</t>
  </si>
  <si>
    <t>Monitor Firebase Authentication status.</t>
  </si>
  <si>
    <t>Vercel hosting platform.</t>
  </si>
  <si>
    <t>Application availability depends on deployment platform.</t>
  </si>
  <si>
    <t>Maintain deployment backups and monitor uptime.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</si>
</sst>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409]d\-mmm\-yy"/>
  </numFmts>
  <fonts count="21">
    <font>
      <sz val="11.0"/>
      <color theme="1"/>
      <name val="Calibri"/>
      <scheme val="minor"/>
    </font>
    <font>
      <sz val="9.0"/>
      <color rgb="FFA5A5A5"/>
      <name val="Calibri"/>
    </font>
    <font>
      <b/>
      <sz val="20.0"/>
      <color theme="1"/>
      <name val="Calibri"/>
    </font>
    <font>
      <u/>
      <sz val="11.0"/>
      <color theme="10"/>
      <name val="Calibri"/>
    </font>
    <font>
      <sz val="9.0"/>
      <color theme="1"/>
      <name val="Calibri"/>
    </font>
    <font>
      <b/>
      <sz val="9.0"/>
      <color theme="1"/>
      <name val="Calibri"/>
    </font>
    <font>
      <sz val="9.0"/>
      <color rgb="FFBFBFBF"/>
      <name val="Calibri"/>
    </font>
    <font>
      <sz val="11.0"/>
      <color theme="1"/>
      <name val="Calibri"/>
    </font>
    <font>
      <b/>
      <sz val="9.0"/>
      <color rgb="FFBFBFBF"/>
      <name val="Calibri"/>
    </font>
    <font>
      <sz val="12.0"/>
      <color theme="1"/>
      <name val="Calibri"/>
    </font>
    <font/>
    <font>
      <sz val="8.0"/>
      <color rgb="FF7F7F7F"/>
      <name val="Calibri"/>
    </font>
    <font>
      <sz val="8.0"/>
      <color theme="1"/>
      <name val="Calibri"/>
    </font>
    <font>
      <sz val="9.0"/>
      <color rgb="FF595959"/>
      <name val="Calibri"/>
    </font>
    <font>
      <sz val="8.0"/>
      <color rgb="FFA5A5A5"/>
      <name val="Calibri"/>
    </font>
    <font>
      <color theme="1"/>
      <name val="Calibri"/>
      <scheme val="minor"/>
    </font>
    <font>
      <sz val="8.0"/>
      <color rgb="FFDDDDDD"/>
      <name val="Calibri"/>
    </font>
    <font>
      <sz val="9.0"/>
      <color rgb="FF0000CC"/>
      <name val="Calibri"/>
    </font>
    <font>
      <sz val="10.0"/>
      <color theme="1"/>
      <name val="Calibri"/>
    </font>
    <font>
      <b/>
      <sz val="9.0"/>
      <color rgb="FF7F7F7F"/>
      <name val="Calibri"/>
    </font>
    <font>
      <sz val="9.0"/>
      <color rgb="FF7F7F7F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D965"/>
        <bgColor rgb="FFFFD965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</fills>
  <borders count="26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/>
      <top style="thin">
        <color rgb="FFBFBFBF"/>
      </top>
      <bottom style="thin">
        <color rgb="FFBFBFBF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/>
      <right/>
      <top/>
      <bottom style="thick">
        <color rgb="FF000000"/>
      </bottom>
    </border>
    <border>
      <left/>
      <right style="thick">
        <color rgb="FF000000"/>
      </right>
      <top/>
      <bottom/>
    </border>
    <border>
      <left/>
      <right/>
      <top style="thick">
        <color rgb="FF000000"/>
      </top>
      <bottom style="thin">
        <color rgb="FFBFBFBF"/>
      </bottom>
    </border>
    <border>
      <left/>
      <right style="thick">
        <color rgb="FF000000"/>
      </right>
      <top style="thick">
        <color rgb="FF000000"/>
      </top>
      <bottom style="thin">
        <color rgb="FFBFBFBF"/>
      </bottom>
    </border>
    <border>
      <left style="thick">
        <color rgb="FF000000"/>
      </left>
      <right style="thick">
        <color rgb="FFBFBFBF"/>
      </right>
      <top/>
      <bottom style="thin">
        <color rgb="FFBFBFBF"/>
      </bottom>
    </border>
    <border>
      <left style="thick">
        <color rgb="FFBFBFBF"/>
      </left>
      <right style="thick">
        <color rgb="FFBFBFBF"/>
      </right>
      <top/>
      <bottom style="thin">
        <color rgb="FFBFBFBF"/>
      </bottom>
    </border>
    <border>
      <left style="thick">
        <color rgb="FFBFBFBF"/>
      </left>
      <right style="thick">
        <color rgb="FFBFBFBF"/>
      </right>
      <top style="thin">
        <color rgb="FFBFBFBF"/>
      </top>
      <bottom style="thin">
        <color rgb="FFBFBFBF"/>
      </bottom>
    </border>
    <border>
      <left style="thick">
        <color rgb="FFBFBFBF"/>
      </left>
      <right style="thick">
        <color rgb="FF000000"/>
      </right>
      <top style="thin">
        <color rgb="FFBFBFBF"/>
      </top>
      <bottom style="thin">
        <color rgb="FFBFBFBF"/>
      </bottom>
    </border>
    <border>
      <left style="thick">
        <color rgb="FF000000"/>
      </left>
      <right/>
      <top/>
      <bottom/>
    </border>
    <border>
      <left/>
      <right/>
      <top style="thin">
        <color rgb="FFBFBFBF"/>
      </top>
      <bottom style="thick">
        <color rgb="FF000000"/>
      </bottom>
    </border>
    <border>
      <left/>
      <right style="thick">
        <color rgb="FF000000"/>
      </right>
      <top style="thin">
        <color rgb="FFBFBFBF"/>
      </top>
      <bottom style="thick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Alignment="1" applyBorder="1" applyFont="1">
      <alignment vertical="center"/>
    </xf>
    <xf borderId="1" fillId="2" fontId="3" numFmtId="0" xfId="0" applyBorder="1" applyFont="1"/>
    <xf borderId="1" fillId="2" fontId="4" numFmtId="0" xfId="0" applyBorder="1" applyFont="1"/>
    <xf borderId="1" fillId="3" fontId="4" numFmtId="0" xfId="0" applyBorder="1" applyFill="1" applyFont="1"/>
    <xf borderId="1" fillId="4" fontId="4" numFmtId="0" xfId="0" applyBorder="1" applyFill="1" applyFont="1"/>
    <xf borderId="1" fillId="4" fontId="5" numFmtId="0" xfId="0" applyAlignment="1" applyBorder="1" applyFont="1">
      <alignment horizontal="center"/>
    </xf>
    <xf borderId="1" fillId="4" fontId="6" numFmtId="0" xfId="0" applyAlignment="1" applyBorder="1" applyFont="1">
      <alignment horizontal="center"/>
    </xf>
    <xf borderId="1" fillId="2" fontId="4" numFmtId="0" xfId="0" applyAlignment="1" applyBorder="1" applyFont="1">
      <alignment vertical="center"/>
    </xf>
    <xf borderId="1" fillId="2" fontId="4" numFmtId="0" xfId="0" applyAlignment="1" applyBorder="1" applyFont="1">
      <alignment horizontal="right" vertical="center"/>
    </xf>
    <xf borderId="1" fillId="2" fontId="7" numFmtId="0" xfId="0" applyAlignment="1" applyBorder="1" applyFont="1">
      <alignment vertical="center"/>
    </xf>
    <xf borderId="1" fillId="4" fontId="4" numFmtId="0" xfId="0" applyAlignment="1" applyBorder="1" applyFont="1">
      <alignment vertical="center"/>
    </xf>
    <xf borderId="2" fillId="4" fontId="6" numFmtId="0" xfId="0" applyAlignment="1" applyBorder="1" applyFont="1">
      <alignment horizontal="right" vertical="center"/>
    </xf>
    <xf borderId="2" fillId="4" fontId="8" numFmtId="0" xfId="0" applyAlignment="1" applyBorder="1" applyFont="1">
      <alignment horizontal="center" vertical="center"/>
    </xf>
    <xf borderId="2" fillId="4" fontId="6" numFmtId="0" xfId="0" applyAlignment="1" applyBorder="1" applyFont="1">
      <alignment horizontal="center" vertical="center"/>
    </xf>
    <xf borderId="3" fillId="4" fontId="6" numFmtId="0" xfId="0" applyAlignment="1" applyBorder="1" applyFont="1">
      <alignment horizontal="center" vertical="center"/>
    </xf>
    <xf borderId="4" fillId="5" fontId="9" numFmtId="0" xfId="0" applyAlignment="1" applyBorder="1" applyFill="1" applyFont="1">
      <alignment horizontal="left" shrinkToFit="0" vertical="top" wrapText="1"/>
    </xf>
    <xf borderId="5" fillId="0" fontId="10" numFmtId="0" xfId="0" applyBorder="1" applyFont="1"/>
    <xf borderId="6" fillId="0" fontId="10" numFmtId="0" xfId="0" applyBorder="1" applyFont="1"/>
    <xf borderId="2" fillId="4" fontId="4" numFmtId="0" xfId="0" applyAlignment="1" applyBorder="1" applyFont="1">
      <alignment horizontal="left" readingOrder="0" vertical="center"/>
    </xf>
    <xf borderId="1" fillId="6" fontId="4" numFmtId="0" xfId="0" applyAlignment="1" applyBorder="1" applyFill="1" applyFont="1">
      <alignment horizontal="left" vertical="center"/>
    </xf>
    <xf borderId="2" fillId="4" fontId="4" numFmtId="0" xfId="0" applyAlignment="1" applyBorder="1" applyFont="1">
      <alignment horizontal="left" vertical="center"/>
    </xf>
    <xf borderId="7" fillId="0" fontId="10" numFmtId="0" xfId="0" applyBorder="1" applyFont="1"/>
    <xf borderId="8" fillId="0" fontId="10" numFmtId="0" xfId="0" applyBorder="1" applyFont="1"/>
    <xf borderId="1" fillId="2" fontId="11" numFmtId="0" xfId="0" applyAlignment="1" applyBorder="1" applyFont="1">
      <alignment horizontal="right"/>
    </xf>
    <xf borderId="1" fillId="2" fontId="12" numFmtId="0" xfId="0" applyAlignment="1" applyBorder="1" applyFont="1">
      <alignment horizontal="left"/>
    </xf>
    <xf borderId="1" fillId="4" fontId="4" numFmtId="0" xfId="0" applyAlignment="1" applyBorder="1" applyFont="1">
      <alignment horizontal="right"/>
    </xf>
    <xf borderId="1" fillId="4" fontId="13" numFmtId="0" xfId="0" applyAlignment="1" applyBorder="1" applyFont="1">
      <alignment readingOrder="0"/>
    </xf>
    <xf borderId="1" fillId="2" fontId="13" numFmtId="0" xfId="0" applyBorder="1" applyFont="1"/>
    <xf borderId="2" fillId="4" fontId="4" numFmtId="164" xfId="0" applyAlignment="1" applyBorder="1" applyFont="1" applyNumberFormat="1">
      <alignment horizontal="left" readingOrder="0" vertical="center"/>
    </xf>
    <xf borderId="9" fillId="2" fontId="14" numFmtId="0" xfId="0" applyAlignment="1" applyBorder="1" applyFont="1">
      <alignment horizontal="center"/>
    </xf>
    <xf borderId="9" fillId="2" fontId="12" numFmtId="0" xfId="0" applyAlignment="1" applyBorder="1" applyFont="1">
      <alignment horizontal="left"/>
    </xf>
    <xf borderId="9" fillId="2" fontId="11" numFmtId="0" xfId="0" applyAlignment="1" applyBorder="1" applyFont="1">
      <alignment horizontal="right"/>
    </xf>
    <xf borderId="1" fillId="2" fontId="14" numFmtId="0" xfId="0" applyAlignment="1" applyBorder="1" applyFont="1">
      <alignment horizontal="center"/>
    </xf>
    <xf borderId="3" fillId="4" fontId="8" numFmtId="0" xfId="0" applyAlignment="1" applyBorder="1" applyFont="1">
      <alignment horizontal="center" vertical="center"/>
    </xf>
    <xf borderId="10" fillId="2" fontId="4" numFmtId="0" xfId="0" applyBorder="1" applyFont="1"/>
    <xf borderId="11" fillId="2" fontId="4" numFmtId="0" xfId="0" applyBorder="1" applyFont="1"/>
    <xf borderId="12" fillId="2" fontId="4" numFmtId="0" xfId="0" applyBorder="1" applyFont="1"/>
    <xf borderId="10" fillId="2" fontId="5" numFmtId="0" xfId="0" applyAlignment="1" applyBorder="1" applyFont="1">
      <alignment horizontal="center"/>
    </xf>
    <xf borderId="13" fillId="2" fontId="7" numFmtId="0" xfId="0" applyAlignment="1" applyBorder="1" applyFont="1">
      <alignment horizontal="center" shrinkToFit="0" vertical="center" wrapText="1"/>
    </xf>
    <xf borderId="14" fillId="2" fontId="7" numFmtId="0" xfId="0" applyAlignment="1" applyBorder="1" applyFont="1">
      <alignment horizontal="left" shrinkToFit="0" vertical="center" wrapText="1"/>
    </xf>
    <xf borderId="15" fillId="2" fontId="7" numFmtId="0" xfId="0" applyAlignment="1" applyBorder="1" applyFont="1">
      <alignment horizontal="left" shrinkToFit="0" vertical="center" wrapText="1"/>
    </xf>
    <xf borderId="15" fillId="2" fontId="7" numFmtId="0" xfId="0" applyAlignment="1" applyBorder="1" applyFont="1">
      <alignment horizontal="center" shrinkToFit="0" vertical="center" wrapText="1"/>
    </xf>
    <xf borderId="16" fillId="2" fontId="7" numFmtId="0" xfId="0" applyAlignment="1" applyBorder="1" applyFont="1">
      <alignment horizontal="center" shrinkToFit="0" vertical="center" wrapText="1"/>
    </xf>
    <xf borderId="17" fillId="2" fontId="12" numFmtId="0" xfId="0" applyAlignment="1" applyBorder="1" applyFont="1">
      <alignment horizontal="left"/>
    </xf>
    <xf borderId="10" fillId="2" fontId="1" numFmtId="0" xfId="0" applyAlignment="1" applyBorder="1" applyFont="1">
      <alignment horizontal="right" vertical="center"/>
    </xf>
    <xf borderId="0" fillId="0" fontId="15" numFmtId="0" xfId="0" applyAlignment="1" applyFont="1">
      <alignment readingOrder="0"/>
    </xf>
    <xf borderId="1" fillId="2" fontId="16" numFmtId="9" xfId="0" applyAlignment="1" applyBorder="1" applyFont="1" applyNumberFormat="1">
      <alignment horizontal="left"/>
    </xf>
    <xf borderId="15" fillId="4" fontId="4" numFmtId="0" xfId="0" applyAlignment="1" applyBorder="1" applyFont="1">
      <alignment horizontal="center" shrinkToFit="0" vertical="center" wrapText="1"/>
    </xf>
    <xf borderId="15" fillId="4" fontId="4" numFmtId="0" xfId="0" applyAlignment="1" applyBorder="1" applyFont="1">
      <alignment horizontal="left" vertical="center"/>
    </xf>
    <xf borderId="15" fillId="4" fontId="17" numFmtId="0" xfId="0" applyAlignment="1" applyBorder="1" applyFont="1">
      <alignment horizontal="left" vertical="center"/>
    </xf>
    <xf borderId="16" fillId="4" fontId="4" numFmtId="0" xfId="0" applyAlignment="1" applyBorder="1" applyFont="1">
      <alignment horizontal="center" shrinkToFit="0" vertical="center" wrapText="1"/>
    </xf>
    <xf borderId="18" fillId="2" fontId="4" numFmtId="0" xfId="0" applyBorder="1" applyFont="1"/>
    <xf borderId="19" fillId="2" fontId="4" numFmtId="0" xfId="0" applyBorder="1" applyFont="1"/>
    <xf borderId="20" fillId="7" fontId="18" numFmtId="0" xfId="0" applyAlignment="1" applyBorder="1" applyFill="1" applyFont="1">
      <alignment horizontal="center" vertical="center"/>
    </xf>
    <xf borderId="21" fillId="0" fontId="10" numFmtId="0" xfId="0" applyBorder="1" applyFont="1"/>
    <xf borderId="22" fillId="0" fontId="10" numFmtId="0" xfId="0" applyBorder="1" applyFont="1"/>
    <xf borderId="23" fillId="0" fontId="10" numFmtId="0" xfId="0" applyBorder="1" applyFont="1"/>
    <xf borderId="24" fillId="0" fontId="10" numFmtId="0" xfId="0" applyBorder="1" applyFont="1"/>
    <xf borderId="25" fillId="0" fontId="10" numFmtId="0" xfId="0" applyBorder="1" applyFont="1"/>
    <xf borderId="20" fillId="2" fontId="4" numFmtId="0" xfId="0" applyBorder="1" applyFont="1"/>
    <xf borderId="1" fillId="2" fontId="19" numFmtId="0" xfId="0" applyBorder="1" applyFont="1"/>
    <xf borderId="1" fillId="2" fontId="20" numFmtId="0" xfId="0" applyBorder="1" applyFont="1"/>
  </cellXfs>
  <cellStyles count="1">
    <cellStyle xfId="0" name="Normal" builtinId="0"/>
  </cellStyles>
  <dxfs count="9"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rgb="FF99CCFF"/>
          <bgColor rgb="FF99CCFF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  <dxf>
      <font>
        <color rgb="FF4F6128"/>
      </font>
      <fill>
        <patternFill patternType="none"/>
      </fill>
      <border/>
    </dxf>
    <dxf>
      <font>
        <color rgb="FF0000CC"/>
      </font>
      <fill>
        <patternFill patternType="none"/>
      </fill>
      <border/>
    </dxf>
    <dxf>
      <font>
        <color rgb="FFC00000"/>
      </font>
      <fill>
        <patternFill patternType="none"/>
      </fill>
      <border/>
    </dxf>
    <dxf>
      <font>
        <color rgb="FF00B05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script.google.com/macros/s/AKfycbz1vCRZzDZf9SkwX8gv1DzKe59fupHWWehSUu0jeTsiZZxn3YdNVAD1sHDLDUanbJ5O/exec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E0B3"/>
    <pageSetUpPr/>
  </sheetPr>
  <sheetViews>
    <sheetView workbookViewId="0"/>
  </sheetViews>
  <sheetFormatPr customHeight="1" defaultColWidth="14.43" defaultRowHeight="15.0"/>
  <cols>
    <col customWidth="1" min="1" max="1" width="2.71"/>
    <col customWidth="1" min="2" max="2" width="17.29"/>
    <col customWidth="1" min="3" max="5" width="30.71"/>
    <col customWidth="1" min="6" max="6" width="19.0"/>
    <col customWidth="1" min="7" max="7" width="16.71"/>
    <col customWidth="1" min="8" max="8" width="19.86"/>
    <col customWidth="1" min="9" max="9" width="16.71"/>
    <col customWidth="1" min="10" max="10" width="13.86"/>
    <col customWidth="1" min="11" max="11" width="9.71"/>
    <col customWidth="1" hidden="1" min="12" max="12" width="14.14"/>
    <col customWidth="1" hidden="1" min="13" max="17" width="7.86"/>
    <col customWidth="1" hidden="1" min="18" max="18" width="11.29"/>
    <col customWidth="1" min="19" max="27" width="8.71"/>
  </cols>
  <sheetData>
    <row r="1" ht="26.25" customHeight="1">
      <c r="A1" s="1"/>
      <c r="B1" s="2" t="s">
        <v>0</v>
      </c>
      <c r="C1" s="3" t="s">
        <v>1</v>
      </c>
      <c r="D1" s="4"/>
      <c r="E1" s="5"/>
      <c r="F1" s="5"/>
      <c r="G1" s="5"/>
      <c r="H1" s="5"/>
      <c r="I1" s="4"/>
      <c r="J1" s="4"/>
      <c r="K1" s="6"/>
      <c r="L1" s="7"/>
      <c r="M1" s="8" t="s">
        <v>2</v>
      </c>
      <c r="N1" s="8" t="s">
        <v>3</v>
      </c>
      <c r="O1" s="8" t="s">
        <v>4</v>
      </c>
      <c r="P1" s="8" t="s">
        <v>5</v>
      </c>
      <c r="Q1" s="8" t="s">
        <v>6</v>
      </c>
      <c r="R1" s="8" t="s">
        <v>7</v>
      </c>
      <c r="S1" s="6"/>
      <c r="T1" s="6"/>
      <c r="U1" s="6"/>
      <c r="V1" s="6"/>
      <c r="W1" s="6"/>
      <c r="X1" s="6"/>
      <c r="Y1" s="6"/>
      <c r="Z1" s="6"/>
      <c r="AA1" s="6"/>
    </row>
    <row r="2" ht="6.0" customHeight="1">
      <c r="A2" s="9"/>
      <c r="B2" s="9"/>
      <c r="C2" s="10"/>
      <c r="D2" s="10"/>
      <c r="E2" s="9"/>
      <c r="F2" s="11"/>
      <c r="G2" s="9"/>
      <c r="H2" s="10"/>
      <c r="I2" s="9"/>
      <c r="J2" s="10"/>
      <c r="K2" s="12"/>
      <c r="L2" s="13" t="s">
        <v>8</v>
      </c>
      <c r="M2" s="14">
        <f>COUNTIF(B9:B29,L2)</f>
        <v>2</v>
      </c>
      <c r="N2" s="15">
        <f>COUNTIFS(B9:B29,L2,G9:G29,N1,I9:I29,"Open")</f>
        <v>0</v>
      </c>
      <c r="O2" s="15">
        <f>COUNTIFS(B9:B29,L2,G9:G29,O1,I9:I29,"Open")</f>
        <v>0</v>
      </c>
      <c r="P2" s="15">
        <f>COUNTIFS(B9:B29,L2,G9:G29,P1,I9:I29,"Open")</f>
        <v>0</v>
      </c>
      <c r="Q2" s="15">
        <f>COUNTIFS(B9:B29,L2,G9:G29,Q1,I9:I29,"Open")</f>
        <v>0</v>
      </c>
      <c r="R2" s="16">
        <f>COUNTIFS(B9:B29,L2,G9:G29,R1,I9:I29,"Open")</f>
        <v>0</v>
      </c>
      <c r="S2" s="17" t="s">
        <v>9</v>
      </c>
      <c r="T2" s="18"/>
      <c r="U2" s="18"/>
      <c r="V2" s="18"/>
      <c r="W2" s="18"/>
      <c r="X2" s="18"/>
      <c r="Y2" s="18"/>
      <c r="Z2" s="18"/>
      <c r="AA2" s="19"/>
    </row>
    <row r="3" ht="18.0" customHeight="1">
      <c r="A3" s="9"/>
      <c r="B3" s="10" t="s">
        <v>10</v>
      </c>
      <c r="C3" s="20" t="s">
        <v>11</v>
      </c>
      <c r="D3" s="21"/>
      <c r="E3" s="10" t="s">
        <v>12</v>
      </c>
      <c r="F3" s="20" t="s">
        <v>13</v>
      </c>
      <c r="G3" s="10" t="s">
        <v>14</v>
      </c>
      <c r="H3" s="22" t="s">
        <v>15</v>
      </c>
      <c r="I3" s="9"/>
      <c r="J3" s="9"/>
      <c r="K3" s="12"/>
      <c r="L3" s="13" t="s">
        <v>16</v>
      </c>
      <c r="M3" s="14">
        <f>COUNTIF(B9:B29,L3)</f>
        <v>2</v>
      </c>
      <c r="N3" s="15">
        <f>COUNTIFS(B9:B29,L3,G9:G29,N1,I9:I29,"Open")</f>
        <v>0</v>
      </c>
      <c r="O3" s="15">
        <f>COUNTIFS(B9:B29,L3,G9:G29,O1,I9:I29,"Open")</f>
        <v>0</v>
      </c>
      <c r="P3" s="15">
        <f>COUNTIFS(B9:B29,L3,G9:G29,P1,I9:I29,"Open")</f>
        <v>0</v>
      </c>
      <c r="Q3" s="15">
        <f>COUNTIFS(B9:B29,L3,G9:G29,Q1,I9:I29,"Open")</f>
        <v>0</v>
      </c>
      <c r="R3" s="16">
        <f>COUNTIFS(B9:B29,L3,G9:G29,R1,I9:I29,"Open")</f>
        <v>0</v>
      </c>
      <c r="S3" s="23"/>
      <c r="AA3" s="24"/>
    </row>
    <row r="4" ht="6.0" customHeight="1">
      <c r="A4" s="9"/>
      <c r="B4" s="25"/>
      <c r="C4" s="26"/>
      <c r="D4" s="26"/>
      <c r="E4" s="25"/>
      <c r="F4" s="26"/>
      <c r="G4" s="9"/>
      <c r="H4" s="9"/>
      <c r="I4" s="9"/>
      <c r="J4" s="9"/>
      <c r="K4" s="27"/>
      <c r="L4" s="13" t="s">
        <v>17</v>
      </c>
      <c r="M4" s="14">
        <f>COUNTIF(B9:B29,L4)</f>
        <v>2</v>
      </c>
      <c r="N4" s="15">
        <f>COUNTIFS(B9:B29,L4,G9:G29,N1,I9:I29,"Open")</f>
        <v>0</v>
      </c>
      <c r="O4" s="15">
        <f>COUNTIFS(B9:B29,L4,G9:G29,O1,I9:I29,"Open")</f>
        <v>0</v>
      </c>
      <c r="P4" s="15">
        <f>COUNTIFS(B9:B29,L4,G9:G29,P1,I9:I29,"Open")</f>
        <v>0</v>
      </c>
      <c r="Q4" s="15">
        <f>COUNTIFS(B9:B29,L4,G9:G29,Q1,I9:I29,"Open")</f>
        <v>0</v>
      </c>
      <c r="R4" s="16">
        <f>COUNTIFS(B9:B29,L4,G9:G29,R1,I9:I29,"Open")</f>
        <v>0</v>
      </c>
      <c r="S4" s="23"/>
      <c r="AA4" s="24"/>
    </row>
    <row r="5" ht="18.0" customHeight="1">
      <c r="A5" s="9"/>
      <c r="B5" s="4" t="s">
        <v>18</v>
      </c>
      <c r="C5" s="28">
        <v>1.0</v>
      </c>
      <c r="D5" s="29"/>
      <c r="E5" s="10" t="s">
        <v>19</v>
      </c>
      <c r="F5" s="30">
        <v>45593.0</v>
      </c>
      <c r="G5" s="10" t="s">
        <v>20</v>
      </c>
      <c r="H5" s="20" t="s">
        <v>21</v>
      </c>
      <c r="I5" s="9"/>
      <c r="J5" s="9"/>
      <c r="K5" s="27"/>
      <c r="L5" s="13" t="s">
        <v>22</v>
      </c>
      <c r="M5" s="14">
        <f>COUNTIF(B9:B29,L5)</f>
        <v>2</v>
      </c>
      <c r="N5" s="15">
        <f>COUNTIFS(B9:B29,L5,G9:G29,N1,I9:I29,"Open")</f>
        <v>0</v>
      </c>
      <c r="O5" s="15">
        <f>COUNTIFS(B9:B29,L5,G9:G29,O1,I9:I29,"Open")</f>
        <v>0</v>
      </c>
      <c r="P5" s="15">
        <f>COUNTIFS(B9:B29,L5,G9:G29,P1,I9:I29,"Open")</f>
        <v>0</v>
      </c>
      <c r="Q5" s="15">
        <f>COUNTIFS(B9:B29,L5,G9:G29,Q1,I9:I29,"Open")</f>
        <v>0</v>
      </c>
      <c r="R5" s="16">
        <f>COUNTIFS(B9:B29,L5,G9:G29,R1,I9:I29,"Open")</f>
        <v>0</v>
      </c>
      <c r="S5" s="23"/>
      <c r="AA5" s="24"/>
    </row>
    <row r="6" ht="15.0" customHeight="1">
      <c r="A6" s="9"/>
      <c r="B6" s="31" t="s">
        <v>23</v>
      </c>
      <c r="C6" s="32"/>
      <c r="D6" s="32"/>
      <c r="E6" s="33"/>
      <c r="F6" s="32"/>
      <c r="G6" s="31" t="s">
        <v>23</v>
      </c>
      <c r="H6" s="34" t="s">
        <v>24</v>
      </c>
      <c r="I6" s="34" t="s">
        <v>25</v>
      </c>
      <c r="J6" s="9"/>
      <c r="K6" s="27"/>
      <c r="L6" s="6"/>
      <c r="M6" s="14">
        <f>SUM(M2:M5)</f>
        <v>8</v>
      </c>
      <c r="N6" s="6"/>
      <c r="O6" s="6"/>
      <c r="P6" s="6"/>
      <c r="Q6" s="6"/>
      <c r="R6" s="35">
        <f>SUM(N2:R5)</f>
        <v>0</v>
      </c>
      <c r="S6" s="23"/>
      <c r="AA6" s="24"/>
    </row>
    <row r="7" ht="6.0" customHeight="1">
      <c r="A7" s="36"/>
      <c r="B7" s="37"/>
      <c r="C7" s="37"/>
      <c r="D7" s="37"/>
      <c r="E7" s="37"/>
      <c r="F7" s="37"/>
      <c r="G7" s="37"/>
      <c r="H7" s="37"/>
      <c r="I7" s="38"/>
      <c r="J7" s="4"/>
      <c r="K7" s="6"/>
      <c r="L7" s="6"/>
      <c r="M7" s="6"/>
      <c r="N7" s="6"/>
      <c r="O7" s="6"/>
      <c r="P7" s="6"/>
      <c r="Q7" s="6"/>
      <c r="R7" s="6"/>
      <c r="S7" s="23"/>
      <c r="AA7" s="24"/>
    </row>
    <row r="8" ht="24.0" customHeight="1">
      <c r="A8" s="39"/>
      <c r="B8" s="40" t="s">
        <v>26</v>
      </c>
      <c r="C8" s="41" t="s">
        <v>27</v>
      </c>
      <c r="D8" s="41" t="s">
        <v>28</v>
      </c>
      <c r="E8" s="42" t="s">
        <v>29</v>
      </c>
      <c r="F8" s="43" t="s">
        <v>30</v>
      </c>
      <c r="G8" s="43" t="s">
        <v>31</v>
      </c>
      <c r="H8" s="43" t="s">
        <v>32</v>
      </c>
      <c r="I8" s="44" t="s">
        <v>33</v>
      </c>
      <c r="J8" s="45"/>
      <c r="K8" s="7"/>
      <c r="L8" s="6"/>
      <c r="M8" s="6"/>
      <c r="N8" s="6"/>
      <c r="O8" s="6"/>
      <c r="P8" s="6"/>
      <c r="Q8" s="6"/>
      <c r="R8" s="6"/>
      <c r="S8" s="23"/>
      <c r="AA8" s="24"/>
    </row>
    <row r="9" ht="21.75" customHeight="1">
      <c r="A9" s="46">
        <v>1.0</v>
      </c>
      <c r="B9" s="47" t="s">
        <v>8</v>
      </c>
      <c r="C9" s="47" t="s">
        <v>34</v>
      </c>
      <c r="D9" s="47" t="s">
        <v>35</v>
      </c>
      <c r="E9" s="47" t="s">
        <v>36</v>
      </c>
      <c r="F9" s="47" t="s">
        <v>37</v>
      </c>
      <c r="G9" s="47" t="s">
        <v>4</v>
      </c>
      <c r="H9" s="47">
        <v>4.0</v>
      </c>
      <c r="I9" s="47" t="s">
        <v>38</v>
      </c>
      <c r="J9" s="48" t="s">
        <v>8</v>
      </c>
      <c r="K9" s="6"/>
      <c r="L9" s="6"/>
      <c r="M9" s="6"/>
      <c r="N9" s="6"/>
      <c r="O9" s="6"/>
      <c r="P9" s="6"/>
      <c r="Q9" s="6"/>
      <c r="R9" s="6"/>
      <c r="S9" s="23"/>
      <c r="AA9" s="24"/>
    </row>
    <row r="10" ht="20.25" customHeight="1">
      <c r="A10" s="46">
        <v>2.0</v>
      </c>
      <c r="B10" s="47" t="s">
        <v>8</v>
      </c>
      <c r="C10" s="47" t="s">
        <v>39</v>
      </c>
      <c r="D10" s="47" t="s">
        <v>40</v>
      </c>
      <c r="E10" s="47" t="s">
        <v>41</v>
      </c>
      <c r="F10" s="47" t="s">
        <v>37</v>
      </c>
      <c r="G10" s="47" t="s">
        <v>5</v>
      </c>
      <c r="H10" s="47">
        <v>3.0</v>
      </c>
      <c r="I10" s="47" t="s">
        <v>38</v>
      </c>
      <c r="J10" s="48" t="s">
        <v>16</v>
      </c>
      <c r="K10" s="6"/>
      <c r="L10" s="6"/>
      <c r="M10" s="6"/>
      <c r="N10" s="6"/>
      <c r="O10" s="6"/>
      <c r="P10" s="6"/>
      <c r="Q10" s="6"/>
      <c r="R10" s="6"/>
      <c r="S10" s="23"/>
      <c r="AA10" s="24"/>
    </row>
    <row r="11" ht="18.0" customHeight="1">
      <c r="A11" s="46">
        <v>3.0</v>
      </c>
      <c r="B11" s="47" t="s">
        <v>16</v>
      </c>
      <c r="C11" s="47" t="s">
        <v>42</v>
      </c>
      <c r="D11" s="47" t="s">
        <v>43</v>
      </c>
      <c r="E11" s="47" t="s">
        <v>44</v>
      </c>
      <c r="F11" s="47" t="s">
        <v>37</v>
      </c>
      <c r="G11" s="47" t="s">
        <v>6</v>
      </c>
      <c r="H11" s="47">
        <v>2.0</v>
      </c>
      <c r="I11" s="47" t="s">
        <v>38</v>
      </c>
      <c r="J11" s="48" t="s">
        <v>17</v>
      </c>
      <c r="K11" s="6"/>
      <c r="L11" s="6"/>
      <c r="M11" s="6"/>
      <c r="N11" s="6"/>
      <c r="O11" s="6"/>
      <c r="P11" s="6"/>
      <c r="Q11" s="6"/>
      <c r="R11" s="6"/>
      <c r="S11" s="23"/>
      <c r="AA11" s="24"/>
    </row>
    <row r="12" ht="18.0" customHeight="1">
      <c r="A12" s="46">
        <v>4.0</v>
      </c>
      <c r="B12" s="47" t="s">
        <v>16</v>
      </c>
      <c r="C12" s="47" t="s">
        <v>45</v>
      </c>
      <c r="D12" s="47" t="s">
        <v>46</v>
      </c>
      <c r="E12" s="47" t="s">
        <v>47</v>
      </c>
      <c r="F12" s="47" t="s">
        <v>37</v>
      </c>
      <c r="G12" s="47" t="s">
        <v>5</v>
      </c>
      <c r="H12" s="47">
        <v>3.0</v>
      </c>
      <c r="I12" s="47" t="s">
        <v>38</v>
      </c>
      <c r="J12" s="48" t="s">
        <v>22</v>
      </c>
      <c r="K12" s="6"/>
      <c r="L12" s="6"/>
      <c r="M12" s="6"/>
      <c r="N12" s="6"/>
      <c r="O12" s="6"/>
      <c r="P12" s="6"/>
      <c r="Q12" s="6"/>
      <c r="R12" s="6"/>
      <c r="S12" s="23"/>
      <c r="AA12" s="24"/>
    </row>
    <row r="13" ht="18.0" customHeight="1">
      <c r="A13" s="46">
        <v>5.0</v>
      </c>
      <c r="B13" s="47" t="s">
        <v>17</v>
      </c>
      <c r="C13" s="47" t="s">
        <v>48</v>
      </c>
      <c r="D13" s="47" t="s">
        <v>49</v>
      </c>
      <c r="E13" s="47" t="s">
        <v>50</v>
      </c>
      <c r="F13" s="47" t="s">
        <v>37</v>
      </c>
      <c r="G13" s="47" t="s">
        <v>4</v>
      </c>
      <c r="H13" s="47">
        <v>4.0</v>
      </c>
      <c r="I13" s="47" t="s">
        <v>38</v>
      </c>
      <c r="J13" s="48"/>
      <c r="K13" s="6"/>
      <c r="L13" s="6"/>
      <c r="M13" s="6"/>
      <c r="N13" s="6"/>
      <c r="O13" s="6"/>
      <c r="P13" s="6"/>
      <c r="Q13" s="6"/>
      <c r="R13" s="6"/>
      <c r="S13" s="23"/>
      <c r="AA13" s="24"/>
    </row>
    <row r="14" ht="18.0" customHeight="1">
      <c r="A14" s="46">
        <v>6.0</v>
      </c>
      <c r="B14" s="47" t="s">
        <v>17</v>
      </c>
      <c r="C14" s="47" t="s">
        <v>51</v>
      </c>
      <c r="D14" s="47" t="s">
        <v>52</v>
      </c>
      <c r="E14" s="47" t="s">
        <v>53</v>
      </c>
      <c r="F14" s="47" t="s">
        <v>37</v>
      </c>
      <c r="G14" s="47" t="s">
        <v>4</v>
      </c>
      <c r="H14" s="47">
        <v>4.0</v>
      </c>
      <c r="I14" s="47" t="s">
        <v>38</v>
      </c>
      <c r="J14" s="48" t="s">
        <v>54</v>
      </c>
      <c r="K14" s="6"/>
      <c r="L14" s="6"/>
      <c r="M14" s="6"/>
      <c r="N14" s="6"/>
      <c r="O14" s="6"/>
      <c r="P14" s="6"/>
      <c r="Q14" s="6"/>
      <c r="R14" s="6"/>
      <c r="S14" s="23"/>
      <c r="AA14" s="24"/>
    </row>
    <row r="15" ht="18.0" customHeight="1">
      <c r="A15" s="46">
        <v>7.0</v>
      </c>
      <c r="B15" s="47" t="s">
        <v>22</v>
      </c>
      <c r="C15" s="47" t="s">
        <v>55</v>
      </c>
      <c r="D15" s="47" t="s">
        <v>56</v>
      </c>
      <c r="E15" s="47" t="s">
        <v>57</v>
      </c>
      <c r="F15" s="47" t="s">
        <v>37</v>
      </c>
      <c r="G15" s="47" t="s">
        <v>5</v>
      </c>
      <c r="H15" s="47">
        <v>3.0</v>
      </c>
      <c r="I15" s="47" t="s">
        <v>38</v>
      </c>
      <c r="J15" s="48" t="s">
        <v>38</v>
      </c>
      <c r="K15" s="6"/>
      <c r="L15" s="6"/>
      <c r="M15" s="6"/>
      <c r="N15" s="6"/>
      <c r="O15" s="6"/>
      <c r="P15" s="6"/>
      <c r="Q15" s="6"/>
      <c r="R15" s="6"/>
      <c r="S15" s="23"/>
      <c r="AA15" s="24"/>
    </row>
    <row r="16" ht="18.0" customHeight="1">
      <c r="A16" s="46">
        <v>8.0</v>
      </c>
      <c r="B16" s="47" t="s">
        <v>22</v>
      </c>
      <c r="C16" s="47" t="s">
        <v>58</v>
      </c>
      <c r="D16" s="47" t="s">
        <v>59</v>
      </c>
      <c r="E16" s="47" t="s">
        <v>60</v>
      </c>
      <c r="F16" s="47" t="s">
        <v>37</v>
      </c>
      <c r="G16" s="47" t="s">
        <v>6</v>
      </c>
      <c r="H16" s="47">
        <v>2.0</v>
      </c>
      <c r="I16" s="47" t="s">
        <v>38</v>
      </c>
      <c r="J16" s="48"/>
      <c r="K16" s="6"/>
      <c r="L16" s="6"/>
      <c r="M16" s="6"/>
      <c r="N16" s="6"/>
      <c r="O16" s="6"/>
      <c r="P16" s="6"/>
      <c r="Q16" s="6"/>
      <c r="R16" s="6"/>
      <c r="S16" s="23"/>
      <c r="AA16" s="24"/>
    </row>
    <row r="17" ht="18.0" customHeight="1">
      <c r="A17" s="46">
        <v>9.0</v>
      </c>
      <c r="B17" s="49"/>
      <c r="C17" s="50"/>
      <c r="D17" s="50"/>
      <c r="E17" s="51"/>
      <c r="F17" s="49"/>
      <c r="G17" s="49"/>
      <c r="H17" s="49"/>
      <c r="I17" s="52"/>
      <c r="J17" s="48" t="s">
        <v>3</v>
      </c>
      <c r="K17" s="6"/>
      <c r="L17" s="6"/>
      <c r="M17" s="6"/>
      <c r="N17" s="6"/>
      <c r="O17" s="6"/>
      <c r="P17" s="6"/>
      <c r="Q17" s="6"/>
      <c r="R17" s="6"/>
      <c r="S17" s="23"/>
      <c r="AA17" s="24"/>
    </row>
    <row r="18" ht="18.0" customHeight="1">
      <c r="A18" s="46">
        <v>10.0</v>
      </c>
      <c r="B18" s="49"/>
      <c r="C18" s="50"/>
      <c r="D18" s="50"/>
      <c r="E18" s="51"/>
      <c r="F18" s="49"/>
      <c r="G18" s="49"/>
      <c r="H18" s="49"/>
      <c r="I18" s="52"/>
      <c r="J18" s="48" t="s">
        <v>4</v>
      </c>
      <c r="K18" s="6"/>
      <c r="L18" s="6"/>
      <c r="M18" s="6"/>
      <c r="N18" s="6"/>
      <c r="O18" s="6"/>
      <c r="P18" s="6"/>
      <c r="Q18" s="6"/>
      <c r="R18" s="6"/>
      <c r="S18" s="23"/>
      <c r="AA18" s="24"/>
    </row>
    <row r="19" ht="18.0" customHeight="1">
      <c r="A19" s="46">
        <v>11.0</v>
      </c>
      <c r="B19" s="49"/>
      <c r="C19" s="50"/>
      <c r="D19" s="50"/>
      <c r="E19" s="51"/>
      <c r="F19" s="49"/>
      <c r="G19" s="49"/>
      <c r="H19" s="49"/>
      <c r="I19" s="52"/>
      <c r="J19" s="48" t="s">
        <v>5</v>
      </c>
      <c r="K19" s="6"/>
      <c r="L19" s="6"/>
      <c r="M19" s="6"/>
      <c r="N19" s="6"/>
      <c r="O19" s="6"/>
      <c r="P19" s="6"/>
      <c r="Q19" s="6"/>
      <c r="R19" s="6"/>
      <c r="S19" s="23"/>
      <c r="AA19" s="24"/>
    </row>
    <row r="20" ht="18.0" customHeight="1">
      <c r="A20" s="46">
        <v>12.0</v>
      </c>
      <c r="B20" s="49"/>
      <c r="C20" s="50"/>
      <c r="D20" s="50"/>
      <c r="E20" s="51"/>
      <c r="F20" s="49"/>
      <c r="G20" s="49"/>
      <c r="H20" s="49"/>
      <c r="I20" s="52"/>
      <c r="J20" s="48" t="s">
        <v>6</v>
      </c>
      <c r="K20" s="6"/>
      <c r="L20" s="6"/>
      <c r="M20" s="6"/>
      <c r="N20" s="6"/>
      <c r="O20" s="6"/>
      <c r="P20" s="6"/>
      <c r="Q20" s="6"/>
      <c r="R20" s="6"/>
      <c r="S20" s="23"/>
      <c r="AA20" s="24"/>
    </row>
    <row r="21" ht="18.0" customHeight="1">
      <c r="A21" s="46">
        <v>13.0</v>
      </c>
      <c r="B21" s="49"/>
      <c r="C21" s="50"/>
      <c r="D21" s="50"/>
      <c r="E21" s="51"/>
      <c r="F21" s="49"/>
      <c r="G21" s="49"/>
      <c r="H21" s="49"/>
      <c r="I21" s="52"/>
      <c r="J21" s="48" t="s">
        <v>7</v>
      </c>
      <c r="K21" s="6"/>
      <c r="L21" s="6"/>
      <c r="M21" s="6"/>
      <c r="N21" s="6"/>
      <c r="O21" s="6"/>
      <c r="P21" s="6"/>
      <c r="Q21" s="6"/>
      <c r="R21" s="6"/>
      <c r="S21" s="23"/>
      <c r="AA21" s="24"/>
    </row>
    <row r="22" ht="18.0" customHeight="1">
      <c r="A22" s="46">
        <v>14.0</v>
      </c>
      <c r="B22" s="49"/>
      <c r="C22" s="50"/>
      <c r="D22" s="50"/>
      <c r="E22" s="51"/>
      <c r="F22" s="49"/>
      <c r="G22" s="49"/>
      <c r="H22" s="49"/>
      <c r="I22" s="52"/>
      <c r="J22" s="48"/>
      <c r="K22" s="6"/>
      <c r="L22" s="6"/>
      <c r="M22" s="6"/>
      <c r="N22" s="6"/>
      <c r="O22" s="6"/>
      <c r="P22" s="6"/>
      <c r="Q22" s="6"/>
      <c r="R22" s="6"/>
      <c r="S22" s="23"/>
      <c r="AA22" s="24"/>
    </row>
    <row r="23" ht="18.0" customHeight="1">
      <c r="A23" s="46">
        <v>15.0</v>
      </c>
      <c r="B23" s="49"/>
      <c r="C23" s="50"/>
      <c r="D23" s="50"/>
      <c r="E23" s="51"/>
      <c r="F23" s="49"/>
      <c r="G23" s="49"/>
      <c r="H23" s="49"/>
      <c r="I23" s="52"/>
      <c r="J23" s="48"/>
      <c r="K23" s="6"/>
      <c r="L23" s="6"/>
      <c r="M23" s="6"/>
      <c r="N23" s="6"/>
      <c r="O23" s="6"/>
      <c r="P23" s="6"/>
      <c r="Q23" s="6"/>
      <c r="R23" s="6"/>
      <c r="S23" s="23"/>
      <c r="AA23" s="24"/>
    </row>
    <row r="24" ht="18.0" customHeight="1">
      <c r="A24" s="46">
        <v>16.0</v>
      </c>
      <c r="B24" s="49"/>
      <c r="C24" s="50"/>
      <c r="D24" s="50"/>
      <c r="E24" s="51"/>
      <c r="F24" s="49"/>
      <c r="G24" s="49"/>
      <c r="H24" s="49"/>
      <c r="I24" s="52"/>
      <c r="J24" s="48"/>
      <c r="K24" s="6"/>
      <c r="L24" s="6"/>
      <c r="M24" s="6"/>
      <c r="N24" s="6"/>
      <c r="O24" s="6"/>
      <c r="P24" s="6"/>
      <c r="Q24" s="6"/>
      <c r="R24" s="6"/>
      <c r="S24" s="23"/>
      <c r="AA24" s="24"/>
    </row>
    <row r="25" ht="18.0" customHeight="1">
      <c r="A25" s="46">
        <v>17.0</v>
      </c>
      <c r="B25" s="49"/>
      <c r="C25" s="50"/>
      <c r="D25" s="50"/>
      <c r="E25" s="51"/>
      <c r="F25" s="49"/>
      <c r="G25" s="49"/>
      <c r="H25" s="49"/>
      <c r="I25" s="52"/>
      <c r="J25" s="48"/>
      <c r="K25" s="6"/>
      <c r="L25" s="6"/>
      <c r="M25" s="6"/>
      <c r="N25" s="6"/>
      <c r="O25" s="6"/>
      <c r="P25" s="6"/>
      <c r="Q25" s="6"/>
      <c r="R25" s="6"/>
      <c r="S25" s="23"/>
      <c r="AA25" s="24"/>
    </row>
    <row r="26" ht="18.0" customHeight="1">
      <c r="A26" s="46">
        <v>18.0</v>
      </c>
      <c r="B26" s="49"/>
      <c r="C26" s="50"/>
      <c r="D26" s="50"/>
      <c r="E26" s="51"/>
      <c r="F26" s="49"/>
      <c r="G26" s="49"/>
      <c r="H26" s="49"/>
      <c r="I26" s="52"/>
      <c r="J26" s="48"/>
      <c r="K26" s="6"/>
      <c r="L26" s="6"/>
      <c r="M26" s="6"/>
      <c r="N26" s="6"/>
      <c r="O26" s="6"/>
      <c r="P26" s="6"/>
      <c r="Q26" s="6"/>
      <c r="R26" s="6"/>
      <c r="S26" s="23"/>
      <c r="AA26" s="24"/>
    </row>
    <row r="27" ht="18.0" customHeight="1">
      <c r="A27" s="46">
        <v>19.0</v>
      </c>
      <c r="B27" s="49"/>
      <c r="C27" s="50"/>
      <c r="D27" s="50"/>
      <c r="E27" s="51"/>
      <c r="F27" s="49"/>
      <c r="G27" s="49"/>
      <c r="H27" s="49"/>
      <c r="I27" s="52"/>
      <c r="J27" s="48"/>
      <c r="K27" s="6"/>
      <c r="L27" s="6"/>
      <c r="M27" s="6"/>
      <c r="N27" s="6"/>
      <c r="O27" s="6"/>
      <c r="P27" s="6"/>
      <c r="Q27" s="6"/>
      <c r="R27" s="6"/>
      <c r="S27" s="23"/>
      <c r="AA27" s="24"/>
    </row>
    <row r="28" ht="18.0" customHeight="1">
      <c r="A28" s="46">
        <v>20.0</v>
      </c>
      <c r="B28" s="49"/>
      <c r="C28" s="50"/>
      <c r="D28" s="50"/>
      <c r="E28" s="51"/>
      <c r="F28" s="49"/>
      <c r="G28" s="49"/>
      <c r="H28" s="49"/>
      <c r="I28" s="52"/>
      <c r="J28" s="48"/>
      <c r="K28" s="6"/>
      <c r="L28" s="6"/>
      <c r="M28" s="6"/>
      <c r="N28" s="6"/>
      <c r="O28" s="6"/>
      <c r="P28" s="6"/>
      <c r="Q28" s="6"/>
      <c r="R28" s="6"/>
      <c r="S28" s="23"/>
      <c r="AA28" s="24"/>
    </row>
    <row r="29" ht="18.0" customHeight="1">
      <c r="A29" s="46">
        <v>21.0</v>
      </c>
      <c r="B29" s="49"/>
      <c r="C29" s="50"/>
      <c r="D29" s="50"/>
      <c r="E29" s="51"/>
      <c r="F29" s="49"/>
      <c r="G29" s="49"/>
      <c r="H29" s="49"/>
      <c r="I29" s="52"/>
      <c r="J29" s="48"/>
      <c r="K29" s="6"/>
      <c r="L29" s="6"/>
      <c r="M29" s="6"/>
      <c r="N29" s="6"/>
      <c r="O29" s="6"/>
      <c r="P29" s="6"/>
      <c r="Q29" s="6"/>
      <c r="R29" s="6"/>
      <c r="S29" s="23"/>
      <c r="AA29" s="24"/>
    </row>
    <row r="30" ht="18.0" customHeight="1">
      <c r="A30" s="46">
        <v>22.0</v>
      </c>
      <c r="B30" s="53"/>
      <c r="C30" s="53"/>
      <c r="D30" s="53"/>
      <c r="E30" s="53"/>
      <c r="F30" s="53"/>
      <c r="G30" s="53"/>
      <c r="H30" s="53"/>
      <c r="I30" s="54"/>
      <c r="J30" s="48"/>
      <c r="K30" s="6"/>
      <c r="L30" s="6"/>
      <c r="M30" s="6"/>
      <c r="N30" s="6"/>
      <c r="O30" s="6"/>
      <c r="P30" s="6"/>
      <c r="Q30" s="6"/>
      <c r="R30" s="6"/>
      <c r="S30" s="23"/>
      <c r="AA30" s="24"/>
    </row>
    <row r="31" ht="18.0" customHeight="1">
      <c r="A31" s="46">
        <v>23.0</v>
      </c>
      <c r="B31" s="4"/>
      <c r="C31" s="4"/>
      <c r="D31" s="4"/>
      <c r="E31" s="4"/>
      <c r="F31" s="4"/>
      <c r="G31" s="4"/>
      <c r="H31" s="4"/>
      <c r="I31" s="4"/>
      <c r="J31" s="48"/>
      <c r="K31" s="6"/>
      <c r="L31" s="6"/>
      <c r="M31" s="6"/>
      <c r="N31" s="6"/>
      <c r="O31" s="6"/>
      <c r="P31" s="6"/>
      <c r="Q31" s="6"/>
      <c r="R31" s="6"/>
      <c r="S31" s="23"/>
      <c r="AA31" s="24"/>
    </row>
    <row r="32" ht="18.0" customHeight="1">
      <c r="A32" s="46">
        <v>24.0</v>
      </c>
      <c r="B32" s="55"/>
      <c r="C32" s="56"/>
      <c r="D32" s="56"/>
      <c r="E32" s="56"/>
      <c r="F32" s="56"/>
      <c r="G32" s="56"/>
      <c r="H32" s="56"/>
      <c r="I32" s="57"/>
      <c r="J32" s="48"/>
      <c r="K32" s="6"/>
      <c r="L32" s="6"/>
      <c r="M32" s="6"/>
      <c r="N32" s="6"/>
      <c r="O32" s="6"/>
      <c r="P32" s="6"/>
      <c r="Q32" s="6"/>
      <c r="R32" s="6"/>
      <c r="S32" s="58"/>
      <c r="T32" s="59"/>
      <c r="U32" s="59"/>
      <c r="V32" s="59"/>
      <c r="W32" s="59"/>
      <c r="X32" s="59"/>
      <c r="Y32" s="59"/>
      <c r="Z32" s="59"/>
      <c r="AA32" s="60"/>
    </row>
    <row r="33" ht="6.0" customHeight="1">
      <c r="A33" s="61"/>
      <c r="B33" s="4"/>
      <c r="C33" s="4"/>
      <c r="D33" s="4"/>
      <c r="E33" s="4"/>
      <c r="F33" s="4"/>
      <c r="G33" s="4"/>
      <c r="H33" s="4"/>
      <c r="I33" s="4"/>
      <c r="J33" s="4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4.25" customHeight="1">
      <c r="A34" s="4"/>
      <c r="B34" s="62"/>
      <c r="C34" s="4"/>
      <c r="D34" s="4"/>
      <c r="E34" s="4"/>
      <c r="F34" s="4"/>
      <c r="G34" s="4"/>
      <c r="H34" s="4"/>
      <c r="I34" s="4"/>
      <c r="J34" s="4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4.25" customHeight="1">
      <c r="A35" s="4"/>
      <c r="B35" s="63"/>
      <c r="C35" s="4"/>
      <c r="D35" s="4"/>
      <c r="E35" s="4"/>
      <c r="F35" s="4"/>
      <c r="G35" s="4"/>
      <c r="H35" s="4"/>
      <c r="I35" s="4"/>
      <c r="J35" s="4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2.75" customHeight="1">
      <c r="A36" s="4"/>
      <c r="B36" s="63"/>
      <c r="C36" s="4"/>
      <c r="D36" s="4"/>
      <c r="E36" s="4"/>
      <c r="F36" s="4"/>
      <c r="G36" s="4"/>
      <c r="H36" s="4"/>
      <c r="I36" s="4"/>
      <c r="J36" s="4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2.75" customHeight="1">
      <c r="A37" s="4"/>
      <c r="B37" s="63"/>
      <c r="C37" s="4"/>
      <c r="D37" s="4"/>
      <c r="E37" s="4"/>
      <c r="F37" s="4"/>
      <c r="G37" s="4"/>
      <c r="H37" s="4"/>
      <c r="I37" s="4"/>
      <c r="J37" s="4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2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2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2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2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2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2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2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2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2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2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2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2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2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2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2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2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2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2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2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2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2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2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2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2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2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2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2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2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2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2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2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2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2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2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2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2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2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2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2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2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2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2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2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2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2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2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2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2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2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2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2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2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2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2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2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2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2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2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2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2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2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2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2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2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2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2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2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2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2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2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2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2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2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2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2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2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2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2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2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2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2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2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2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2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2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2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2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2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2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2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2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2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2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2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2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2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2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2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2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2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2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2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2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2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2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2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2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2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2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2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2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2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2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2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2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2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2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2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2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2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2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2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2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2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2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2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2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2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2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2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2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2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ht="12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ht="12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ht="12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ht="12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ht="12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ht="12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ht="12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ht="12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ht="12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ht="12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ht="12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ht="12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ht="12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ht="12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ht="12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ht="12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ht="12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ht="12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ht="12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ht="12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ht="12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ht="12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ht="12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ht="12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ht="12.0" customHeight="1">
      <c r="A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ht="12.0" customHeight="1">
      <c r="A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ht="12.0" customHeight="1">
      <c r="A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S2:AA32"/>
    <mergeCell ref="B32:I32"/>
  </mergeCells>
  <conditionalFormatting sqref="G9:G31">
    <cfRule type="cellIs" dxfId="0" priority="1" operator="equal">
      <formula>"Negligible"</formula>
    </cfRule>
  </conditionalFormatting>
  <conditionalFormatting sqref="G9:G31">
    <cfRule type="cellIs" dxfId="1" priority="2" operator="equal">
      <formula>"Low"</formula>
    </cfRule>
  </conditionalFormatting>
  <conditionalFormatting sqref="G9:G31">
    <cfRule type="cellIs" dxfId="2" priority="3" operator="equal">
      <formula>"Moderate"</formula>
    </cfRule>
  </conditionalFormatting>
  <conditionalFormatting sqref="G9:G31">
    <cfRule type="cellIs" dxfId="3" priority="4" operator="equal">
      <formula>"High"</formula>
    </cfRule>
  </conditionalFormatting>
  <conditionalFormatting sqref="G9:G31">
    <cfRule type="cellIs" dxfId="4" priority="5" operator="equal">
      <formula>"Critical"</formula>
    </cfRule>
  </conditionalFormatting>
  <conditionalFormatting sqref="B9:B32">
    <cfRule type="cellIs" dxfId="5" priority="6" operator="equal">
      <formula>"Dependency"</formula>
    </cfRule>
  </conditionalFormatting>
  <conditionalFormatting sqref="B9:B32">
    <cfRule type="cellIs" dxfId="6" priority="7" operator="equal">
      <formula>"Issue"</formula>
    </cfRule>
  </conditionalFormatting>
  <conditionalFormatting sqref="B9:B32">
    <cfRule type="cellIs" dxfId="7" priority="8" operator="equal">
      <formula>"Risk"</formula>
    </cfRule>
  </conditionalFormatting>
  <conditionalFormatting sqref="I17:I31">
    <cfRule type="cellIs" dxfId="8" priority="9" operator="equal">
      <formula>"Closed"</formula>
    </cfRule>
  </conditionalFormatting>
  <dataValidations>
    <dataValidation type="list" allowBlank="1" showErrorMessage="1" sqref="I17:I29">
      <formula1>$J$13:$J$15</formula1>
    </dataValidation>
    <dataValidation type="list" allowBlank="1" showErrorMessage="1" sqref="G9:G29">
      <formula1>$J$16:$J$21</formula1>
    </dataValidation>
    <dataValidation type="list" allowBlank="1" showErrorMessage="1" sqref="B9:B29">
      <formula1>$J$8:$J$12</formula1>
    </dataValidation>
  </dataValidations>
  <hyperlinks>
    <hyperlink r:id="rId1" ref="C1"/>
  </hyperlinks>
  <printOptions/>
  <pageMargins bottom="0.75" footer="0.0" header="0.0" left="0.7" right="0.7" top="0.75"/>
  <pageSetup paperSize="9" orientation="portrait"/>
  <drawing r:id="rId2"/>
</worksheet>
</file>